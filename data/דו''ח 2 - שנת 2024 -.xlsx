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artage\DOSSIERS\1883-15\Gestion\2024\"/>
    </mc:Choice>
  </mc:AlternateContent>
  <xr:revisionPtr revIDLastSave="0" documentId="13_ncr:1_{70C8CFF4-9310-4BA7-A5CC-045FA1B9AC4B}" xr6:coauthVersionLast="47" xr6:coauthVersionMax="47" xr10:uidLastSave="{00000000-0000-0000-0000-000000000000}"/>
  <bookViews>
    <workbookView xWindow="765" yWindow="1395" windowWidth="23325" windowHeight="10905" activeTab="1" xr2:uid="{00000000-000D-0000-FFFF-FFFF00000000}"/>
  </bookViews>
  <sheets>
    <sheet name="Graph1" sheetId="4" r:id="rId1"/>
    <sheet name="Feuil1" sheetId="1" r:id="rId2"/>
    <sheet name="Feuil2" sheetId="2" r:id="rId3"/>
    <sheet name="Feuil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B11" i="1"/>
  <c r="H7" i="1" l="1"/>
  <c r="I7" i="1" s="1"/>
  <c r="H5" i="1"/>
  <c r="H10" i="1"/>
  <c r="I10" i="1" s="1"/>
  <c r="H6" i="1"/>
  <c r="I6" i="1" s="1"/>
  <c r="H8" i="1"/>
  <c r="I8" i="1" s="1"/>
  <c r="H9" i="1"/>
  <c r="I9" i="1" s="1"/>
  <c r="I5" i="1" l="1"/>
  <c r="I11" i="1" s="1"/>
  <c r="H11" i="1"/>
</calcChain>
</file>

<file path=xl/sharedStrings.xml><?xml version="1.0" encoding="utf-8"?>
<sst xmlns="http://schemas.openxmlformats.org/spreadsheetml/2006/main" count="30" uniqueCount="30">
  <si>
    <t>TOTAL</t>
  </si>
  <si>
    <r>
      <rPr>
        <b/>
        <sz val="11"/>
        <color theme="1"/>
        <rFont val="Arial"/>
        <family val="2"/>
        <scheme val="minor"/>
      </rPr>
      <t>כתובת הנכס</t>
    </r>
    <r>
      <rPr>
        <sz val="11"/>
        <color theme="1"/>
        <rFont val="Arial"/>
        <family val="2"/>
        <charset val="177"/>
        <scheme val="minor"/>
      </rPr>
      <t xml:space="preserve"> : רח' שמואל הנביא 4/31 - ירושלים</t>
    </r>
  </si>
  <si>
    <t>חודש</t>
  </si>
  <si>
    <t>יולי</t>
  </si>
  <si>
    <t>אוגוסט</t>
  </si>
  <si>
    <t>ספטמבר</t>
  </si>
  <si>
    <t>אוקטובר</t>
  </si>
  <si>
    <t>נובמבר</t>
  </si>
  <si>
    <t>דצמבר</t>
  </si>
  <si>
    <t>דמי שכירות</t>
  </si>
  <si>
    <t>שכ''ט דמי ניהול</t>
  </si>
  <si>
    <t>שיפוצים</t>
  </si>
  <si>
    <t>דמי ניהול בנק</t>
  </si>
  <si>
    <t>עלויות שונות</t>
  </si>
  <si>
    <t>מיסים</t>
  </si>
  <si>
    <t>העברה ללקוח</t>
  </si>
  <si>
    <t>עלויות שונות/הערות</t>
  </si>
  <si>
    <t xml:space="preserve"> </t>
  </si>
  <si>
    <t>יתרת</t>
  </si>
  <si>
    <t>סה''כ הוצאות</t>
  </si>
  <si>
    <t>זכות</t>
  </si>
  <si>
    <t>הוצאות</t>
  </si>
  <si>
    <r>
      <rPr>
        <b/>
        <sz val="11"/>
        <color theme="1"/>
        <rFont val="Arial"/>
        <family val="2"/>
        <scheme val="minor"/>
      </rPr>
      <t>סוף תקופת השכירות</t>
    </r>
    <r>
      <rPr>
        <sz val="11"/>
        <color theme="1"/>
        <rFont val="Arial"/>
        <family val="2"/>
        <charset val="177"/>
        <scheme val="minor"/>
      </rPr>
      <t xml:space="preserve"> : 28/02/2025                                    </t>
    </r>
    <r>
      <rPr>
        <b/>
        <sz val="11"/>
        <color theme="1"/>
        <rFont val="Arial"/>
        <family val="2"/>
        <scheme val="minor"/>
      </rPr>
      <t>מבוטח אצל</t>
    </r>
    <r>
      <rPr>
        <sz val="11"/>
        <color theme="1"/>
        <rFont val="Arial"/>
        <family val="2"/>
        <charset val="177"/>
        <scheme val="minor"/>
      </rPr>
      <t xml:space="preserve"> : רפאלי   </t>
    </r>
    <r>
      <rPr>
        <b/>
        <sz val="11"/>
        <color theme="1"/>
        <rFont val="Arial"/>
        <family val="2"/>
        <scheme val="minor"/>
      </rPr>
      <t>עד</t>
    </r>
    <r>
      <rPr>
        <sz val="11"/>
        <color theme="1"/>
        <rFont val="Arial"/>
        <family val="2"/>
        <charset val="177"/>
        <scheme val="minor"/>
      </rPr>
      <t xml:space="preserve"> : 31/01/2025</t>
    </r>
  </si>
  <si>
    <t>דו''ח חצי שנה 2024</t>
  </si>
  <si>
    <t>יתרת חשבון נאמנות בבנק לאומי בתאריך 01/06/2024 : 2,527.46 ש''ח</t>
  </si>
  <si>
    <t>יתרת חשבון נאמנות בבנק לאומי בתאריך 43 : 2,494.46 ש''ח</t>
  </si>
  <si>
    <r>
      <t>סה''כ שהועבר לחשבון של גב' חג'ג שנפתח בבנק יהב סניף 123 חשבון מס' 95425 :</t>
    </r>
    <r>
      <rPr>
        <b/>
        <i/>
        <sz val="11"/>
        <color theme="1"/>
        <rFont val="Arial"/>
        <family val="2"/>
        <scheme val="minor"/>
      </rPr>
      <t>12,801.36 ש''ח</t>
    </r>
  </si>
  <si>
    <r>
      <t>סה''כ שהועבר לחשבון של גב' אהרון שנפתח בבנק דיסקונט סניף 153 חשבון מס' 189031451 :</t>
    </r>
    <r>
      <rPr>
        <b/>
        <i/>
        <sz val="11"/>
        <color theme="1"/>
        <rFont val="Arial"/>
        <family val="2"/>
        <scheme val="minor"/>
      </rPr>
      <t xml:space="preserve"> 15,843.36 ש''ח</t>
    </r>
  </si>
  <si>
    <r>
      <rPr>
        <b/>
        <sz val="11"/>
        <color theme="1"/>
        <rFont val="Arial"/>
        <family val="2"/>
        <scheme val="minor"/>
      </rPr>
      <t xml:space="preserve">                       שם הלקוח </t>
    </r>
    <r>
      <rPr>
        <sz val="11"/>
        <color theme="1"/>
        <rFont val="Arial"/>
        <family val="2"/>
        <charset val="177"/>
        <scheme val="minor"/>
      </rPr>
      <t xml:space="preserve">: חג'ג' רבקה &amp; שרה אהרון                                                                </t>
    </r>
    <r>
      <rPr>
        <b/>
        <sz val="11"/>
        <color theme="1"/>
        <rFont val="Arial"/>
        <family val="2"/>
        <scheme val="minor"/>
      </rPr>
      <t>שם השוכר</t>
    </r>
    <r>
      <rPr>
        <sz val="11"/>
        <color theme="1"/>
        <rFont val="Arial"/>
        <family val="2"/>
        <charset val="177"/>
        <scheme val="minor"/>
      </rPr>
      <t xml:space="preserve"> : למברגר משה וגיטל</t>
    </r>
  </si>
  <si>
    <t xml:space="preserve">מחודש מרץ 2023 דמי השכירות הופקד בחשבון נאמנות כללי של המשרד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</si>
</sst>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₪&quot;\ #,##0.00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Arial"/>
      <family val="2"/>
      <charset val="177"/>
      <scheme val="minor"/>
    </font>
    <font>
      <sz val="12"/>
      <color theme="1"/>
      <name val="Times New Roman"/>
      <family val="1"/>
    </font>
    <font>
      <i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2"/>
      <name val="Times New Roman"/>
      <family val="1"/>
    </font>
    <font>
      <sz val="10"/>
      <name val="Arial"/>
      <family val="2"/>
      <scheme val="minor"/>
    </font>
    <font>
      <b/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1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medium">
        <color theme="4"/>
      </right>
      <top/>
      <bottom style="thick">
        <color theme="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3" applyNumberFormat="0" applyFill="0" applyAlignment="0" applyProtection="0"/>
  </cellStyleXfs>
  <cellXfs count="5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 readingOrder="1"/>
    </xf>
    <xf numFmtId="0" fontId="3" fillId="0" borderId="0" xfId="0" applyFont="1" applyAlignment="1">
      <alignment horizontal="justify" wrapText="1" readingOrder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 readingOrder="1"/>
    </xf>
    <xf numFmtId="0" fontId="7" fillId="0" borderId="0" xfId="1" applyNumberFormat="1" applyFont="1" applyFill="1" applyBorder="1" applyAlignment="1" applyProtection="1">
      <alignment horizontal="left" vertical="top"/>
    </xf>
    <xf numFmtId="0" fontId="8" fillId="0" borderId="5" xfId="1" applyNumberFormat="1" applyFont="1" applyFill="1" applyBorder="1" applyAlignment="1" applyProtection="1">
      <alignment horizontal="left" vertical="top" wrapText="1"/>
    </xf>
    <xf numFmtId="164" fontId="12" fillId="0" borderId="4" xfId="1" applyNumberFormat="1" applyFont="1" applyBorder="1" applyAlignment="1">
      <alignment horizontal="left" vertical="top" wrapText="1"/>
    </xf>
    <xf numFmtId="164" fontId="12" fillId="0" borderId="7" xfId="1" applyNumberFormat="1" applyFont="1" applyBorder="1" applyAlignment="1">
      <alignment horizontal="left" vertical="top" wrapText="1"/>
    </xf>
    <xf numFmtId="164" fontId="12" fillId="0" borderId="6" xfId="1" applyNumberFormat="1" applyFont="1" applyBorder="1" applyAlignment="1">
      <alignment horizontal="left" vertical="top" wrapText="1"/>
    </xf>
    <xf numFmtId="164" fontId="12" fillId="0" borderId="9" xfId="1" applyNumberFormat="1" applyFont="1" applyBorder="1" applyAlignment="1">
      <alignment horizontal="left" vertical="top" wrapText="1"/>
    </xf>
    <xf numFmtId="164" fontId="12" fillId="0" borderId="11" xfId="1" applyNumberFormat="1" applyFont="1" applyBorder="1" applyAlignment="1">
      <alignment horizontal="left" vertical="top" wrapText="1"/>
    </xf>
    <xf numFmtId="0" fontId="12" fillId="0" borderId="11" xfId="1" applyNumberFormat="1" applyFont="1" applyFill="1" applyBorder="1" applyAlignment="1" applyProtection="1">
      <alignment horizontal="left" vertical="top" wrapText="1"/>
    </xf>
    <xf numFmtId="164" fontId="9" fillId="0" borderId="15" xfId="1" applyNumberFormat="1" applyFont="1" applyBorder="1" applyAlignment="1">
      <alignment horizontal="center" vertical="center" wrapText="1"/>
    </xf>
    <xf numFmtId="164" fontId="9" fillId="0" borderId="16" xfId="1" applyNumberFormat="1" applyFont="1" applyBorder="1" applyAlignment="1">
      <alignment horizontal="center" vertical="center" wrapText="1"/>
    </xf>
    <xf numFmtId="164" fontId="9" fillId="0" borderId="17" xfId="1" applyNumberFormat="1" applyFont="1" applyBorder="1" applyAlignment="1">
      <alignment horizontal="center" vertical="center" wrapText="1"/>
    </xf>
    <xf numFmtId="164" fontId="9" fillId="0" borderId="18" xfId="1" applyNumberFormat="1" applyFont="1" applyBorder="1" applyAlignment="1">
      <alignment horizontal="center" vertical="top" wrapText="1"/>
    </xf>
    <xf numFmtId="164" fontId="9" fillId="0" borderId="21" xfId="1" applyNumberFormat="1" applyFont="1" applyBorder="1" applyAlignment="1">
      <alignment horizontal="center" vertical="center" wrapText="1"/>
    </xf>
    <xf numFmtId="164" fontId="12" fillId="0" borderId="8" xfId="1" applyNumberFormat="1" applyFont="1" applyBorder="1" applyAlignment="1">
      <alignment horizontal="left" vertical="top" wrapText="1"/>
    </xf>
    <xf numFmtId="164" fontId="9" fillId="0" borderId="22" xfId="1" applyNumberFormat="1" applyFont="1" applyBorder="1" applyAlignment="1">
      <alignment horizontal="center" vertical="center" wrapText="1"/>
    </xf>
    <xf numFmtId="164" fontId="12" fillId="0" borderId="23" xfId="1" applyNumberFormat="1" applyFont="1" applyBorder="1" applyAlignment="1">
      <alignment horizontal="center" vertical="center" wrapText="1"/>
    </xf>
    <xf numFmtId="164" fontId="12" fillId="0" borderId="6" xfId="1" applyNumberFormat="1" applyFont="1" applyBorder="1" applyAlignment="1">
      <alignment horizontal="center" vertical="center" wrapText="1"/>
    </xf>
    <xf numFmtId="164" fontId="12" fillId="0" borderId="6" xfId="1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64" fontId="12" fillId="0" borderId="10" xfId="1" applyNumberFormat="1" applyFont="1" applyBorder="1" applyAlignment="1">
      <alignment horizontal="center" vertical="center" wrapText="1"/>
    </xf>
    <xf numFmtId="164" fontId="13" fillId="0" borderId="22" xfId="1" applyNumberFormat="1" applyFont="1" applyBorder="1" applyAlignment="1">
      <alignment horizontal="center" vertical="center" wrapText="1"/>
    </xf>
    <xf numFmtId="164" fontId="13" fillId="0" borderId="15" xfId="1" applyNumberFormat="1" applyFont="1" applyBorder="1" applyAlignment="1">
      <alignment horizontal="center" vertical="center" wrapText="1"/>
    </xf>
    <xf numFmtId="164" fontId="14" fillId="0" borderId="0" xfId="0" applyNumberFormat="1" applyFont="1" applyAlignment="1">
      <alignment horizontal="left" vertical="top" wrapText="1"/>
    </xf>
    <xf numFmtId="164" fontId="12" fillId="0" borderId="9" xfId="1" applyNumberFormat="1" applyFont="1" applyBorder="1" applyAlignment="1">
      <alignment horizontal="right" vertical="top" wrapText="1"/>
    </xf>
    <xf numFmtId="0" fontId="7" fillId="0" borderId="0" xfId="1" applyNumberFormat="1" applyFont="1" applyFill="1" applyBorder="1" applyAlignment="1" applyProtection="1">
      <alignment horizontal="right" vertical="top"/>
    </xf>
    <xf numFmtId="0" fontId="14" fillId="0" borderId="0" xfId="1" applyNumberFormat="1" applyFont="1" applyFill="1" applyBorder="1" applyAlignment="1" applyProtection="1">
      <alignment horizontal="left" vertical="top"/>
    </xf>
    <xf numFmtId="164" fontId="15" fillId="0" borderId="14" xfId="1" applyNumberFormat="1" applyFont="1" applyBorder="1" applyAlignment="1">
      <alignment horizontal="center" vertical="center" wrapText="1"/>
    </xf>
    <xf numFmtId="164" fontId="12" fillId="0" borderId="13" xfId="1" applyNumberFormat="1" applyFont="1" applyBorder="1" applyAlignment="1">
      <alignment horizontal="right" vertical="top" wrapText="1"/>
    </xf>
    <xf numFmtId="164" fontId="12" fillId="0" borderId="9" xfId="1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/>
    </xf>
    <xf numFmtId="164" fontId="9" fillId="0" borderId="23" xfId="1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15" fillId="0" borderId="19" xfId="1" applyNumberFormat="1" applyFont="1" applyBorder="1" applyAlignment="1">
      <alignment horizontal="center" vertical="top" wrapText="1"/>
    </xf>
    <xf numFmtId="164" fontId="9" fillId="0" borderId="20" xfId="1" applyNumberFormat="1" applyFont="1" applyBorder="1" applyAlignment="1">
      <alignment horizontal="center" vertical="top" wrapText="1"/>
    </xf>
    <xf numFmtId="164" fontId="9" fillId="0" borderId="21" xfId="1" applyNumberFormat="1" applyFont="1" applyBorder="1" applyAlignment="1">
      <alignment horizontal="center" vertical="top" wrapText="1"/>
    </xf>
  </cellXfs>
  <cellStyles count="2">
    <cellStyle name="Normal" xfId="0" builtinId="0"/>
    <cellStyle name="Total" xfId="1" builtinId="25"/>
  </cellStyles>
  <dxfs count="0"/>
  <tableStyles count="3" defaultTableStyle="Style de tableau 2" defaultPivotStyle="PivotStyleLight16">
    <tableStyle name="Style de tableau 1" pivot="0" count="0" xr9:uid="{00000000-0011-0000-FFFF-FFFF00000000}"/>
    <tableStyle name="Style de tableau 2" pivot="0" count="0" xr9:uid="{00000000-0011-0000-FFFF-FFFF01000000}"/>
    <tableStyle name="Style de tableau 3" pivot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Feuil1!$A$11:$B$11</c:f>
              <c:strCache>
                <c:ptCount val="2"/>
                <c:pt idx="0">
                  <c:v>TOTAL</c:v>
                </c:pt>
                <c:pt idx="1">
                  <c:v>₪ 31,200.00</c:v>
                </c:pt>
              </c:strCache>
            </c:strRef>
          </c:tx>
          <c:invertIfNegative val="0"/>
          <c:cat>
            <c:multiLvlStrRef>
              <c:f>Feuil1!$C$1:$L$10</c:f>
              <c:multiLvlStrCache>
                <c:ptCount val="9"/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שכ''ט דמי ניהול</c:v>
                  </c:pt>
                  <c:pt idx="1">
                    <c:v>שיפוצים</c:v>
                  </c:pt>
                  <c:pt idx="2">
                    <c:v>דמי ניהול בנק</c:v>
                  </c:pt>
                  <c:pt idx="3">
                    <c:v>עלויות שונות</c:v>
                  </c:pt>
                  <c:pt idx="4">
                    <c:v>מיסים</c:v>
                  </c:pt>
                  <c:pt idx="5">
                    <c:v>סה''כ הוצאות</c:v>
                  </c:pt>
                  <c:pt idx="6">
                    <c:v>יתרת</c:v>
                  </c:pt>
                  <c:pt idx="7">
                    <c:v>העברה ללקוח</c:v>
                  </c:pt>
                  <c:pt idx="8">
                    <c:v>עלויות שונות/הערות</c:v>
                  </c:pt>
                </c:lvl>
                <c:lvl>
                  <c:pt idx="0">
                    <c:v>הוצאות</c:v>
                  </c:pt>
                </c:lvl>
                <c:lvl>
                  <c:pt idx="2">
                    <c:v>כתובת הנכס : רח' שמואל הנביא 4/31 - ירושלים</c:v>
                  </c:pt>
                  <c:pt idx="6">
                    <c:v>                       שם הלקוח : חג'ג' רבקה &amp; שרה אהרון                                                                שם השוכר : למברגר משה וגיטל</c:v>
                  </c:pt>
                </c:lvl>
              </c:multiLvlStrCache>
            </c:multiLvlStrRef>
          </c:cat>
          <c:val>
            <c:numRef>
              <c:f>Feuil1!$C$11:$L$11</c:f>
              <c:numCache>
                <c:formatCode>General</c:formatCode>
                <c:ptCount val="10"/>
                <c:pt idx="5" formatCode="&quot;₪&quot;\ #,##0.00">
                  <c:v>2555.2800000000002</c:v>
                </c:pt>
                <c:pt idx="6" formatCode="&quot;₪&quot;\ #,##0.00">
                  <c:v>28644.719999999998</c:v>
                </c:pt>
                <c:pt idx="7" formatCode="&quot;₪&quot;\ #,##0.00">
                  <c:v>28644.719999999998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8-4931-BA11-0F75C14479F6}"/>
            </c:ext>
          </c:extLst>
        </c:ser>
        <c:ser>
          <c:idx val="1"/>
          <c:order val="1"/>
          <c:tx>
            <c:strRef>
              <c:f>Feuil1!$A$12:$B$12</c:f>
              <c:strCache>
                <c:ptCount val="2"/>
                <c:pt idx="0">
                  <c:v>TOTAL</c:v>
                </c:pt>
                <c:pt idx="1">
                  <c:v>₪ 31,200.00</c:v>
                </c:pt>
              </c:strCache>
            </c:strRef>
          </c:tx>
          <c:invertIfNegative val="0"/>
          <c:cat>
            <c:multiLvlStrRef>
              <c:f>Feuil1!$C$1:$L$10</c:f>
              <c:multiLvlStrCache>
                <c:ptCount val="9"/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שכ''ט דמי ניהול</c:v>
                  </c:pt>
                  <c:pt idx="1">
                    <c:v>שיפוצים</c:v>
                  </c:pt>
                  <c:pt idx="2">
                    <c:v>דמי ניהול בנק</c:v>
                  </c:pt>
                  <c:pt idx="3">
                    <c:v>עלויות שונות</c:v>
                  </c:pt>
                  <c:pt idx="4">
                    <c:v>מיסים</c:v>
                  </c:pt>
                  <c:pt idx="5">
                    <c:v>סה''כ הוצאות</c:v>
                  </c:pt>
                  <c:pt idx="6">
                    <c:v>יתרת</c:v>
                  </c:pt>
                  <c:pt idx="7">
                    <c:v>העברה ללקוח</c:v>
                  </c:pt>
                  <c:pt idx="8">
                    <c:v>עלויות שונות/הערות</c:v>
                  </c:pt>
                </c:lvl>
                <c:lvl>
                  <c:pt idx="0">
                    <c:v>הוצאות</c:v>
                  </c:pt>
                </c:lvl>
                <c:lvl>
                  <c:pt idx="2">
                    <c:v>כתובת הנכס : רח' שמואל הנביא 4/31 - ירושלים</c:v>
                  </c:pt>
                  <c:pt idx="6">
                    <c:v>                       שם הלקוח : חג'ג' רבקה &amp; שרה אהרון                                                                שם השוכר : למברגר משה וגיטל</c:v>
                  </c:pt>
                </c:lvl>
              </c:multiLvlStrCache>
            </c:multiLvlStrRef>
          </c:cat>
          <c:val>
            <c:numRef>
              <c:f>Feuil1!$C$12:$L$12</c:f>
              <c:numCache>
                <c:formatCode>General</c:formatCode>
                <c:ptCount val="10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8-4931-BA11-0F75C14479F6}"/>
            </c:ext>
          </c:extLst>
        </c:ser>
        <c:ser>
          <c:idx val="2"/>
          <c:order val="2"/>
          <c:tx>
            <c:strRef>
              <c:f>Feuil1!$A$13:$B$13</c:f>
              <c:strCache>
                <c:ptCount val="2"/>
                <c:pt idx="0">
                  <c:v> </c:v>
                </c:pt>
              </c:strCache>
            </c:strRef>
          </c:tx>
          <c:invertIfNegative val="0"/>
          <c:cat>
            <c:multiLvlStrRef>
              <c:f>Feuil1!$C$1:$L$10</c:f>
              <c:multiLvlStrCache>
                <c:ptCount val="9"/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שכ''ט דמי ניהול</c:v>
                  </c:pt>
                  <c:pt idx="1">
                    <c:v>שיפוצים</c:v>
                  </c:pt>
                  <c:pt idx="2">
                    <c:v>דמי ניהול בנק</c:v>
                  </c:pt>
                  <c:pt idx="3">
                    <c:v>עלויות שונות</c:v>
                  </c:pt>
                  <c:pt idx="4">
                    <c:v>מיסים</c:v>
                  </c:pt>
                  <c:pt idx="5">
                    <c:v>סה''כ הוצאות</c:v>
                  </c:pt>
                  <c:pt idx="6">
                    <c:v>יתרת</c:v>
                  </c:pt>
                  <c:pt idx="7">
                    <c:v>העברה ללקוח</c:v>
                  </c:pt>
                  <c:pt idx="8">
                    <c:v>עלויות שונות/הערות</c:v>
                  </c:pt>
                </c:lvl>
                <c:lvl>
                  <c:pt idx="0">
                    <c:v>הוצאות</c:v>
                  </c:pt>
                </c:lvl>
                <c:lvl>
                  <c:pt idx="2">
                    <c:v>כתובת הנכס : רח' שמואל הנביא 4/31 - ירושלים</c:v>
                  </c:pt>
                  <c:pt idx="6">
                    <c:v>                       שם הלקוח : חג'ג' רבקה &amp; שרה אהרון                                                                שם השוכר : למברגר משה וגיטל</c:v>
                  </c:pt>
                </c:lvl>
              </c:multiLvlStrCache>
            </c:multiLvlStrRef>
          </c:cat>
          <c:val>
            <c:numRef>
              <c:f>Feuil1!$C$13:$L$13</c:f>
              <c:numCache>
                <c:formatCode>General</c:formatCode>
                <c:ptCount val="10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8-4931-BA11-0F75C14479F6}"/>
            </c:ext>
          </c:extLst>
        </c:ser>
        <c:ser>
          <c:idx val="3"/>
          <c:order val="3"/>
          <c:tx>
            <c:strRef>
              <c:f>Feuil1!$A$15:$B$15</c:f>
              <c:strCache>
                <c:ptCount val="2"/>
                <c:pt idx="0">
                  <c:v> </c:v>
                </c:pt>
              </c:strCache>
            </c:strRef>
          </c:tx>
          <c:invertIfNegative val="0"/>
          <c:cat>
            <c:multiLvlStrRef>
              <c:f>Feuil1!$C$1:$L$10</c:f>
              <c:multiLvlStrCache>
                <c:ptCount val="9"/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5">
                    <c:v>₪ 425.88</c:v>
                  </c:pt>
                  <c:pt idx="6">
                    <c:v>₪ 4,774.12</c:v>
                  </c:pt>
                  <c:pt idx="7">
                    <c:v>₪ 4,774.12</c:v>
                  </c:pt>
                </c:lvl>
                <c:lvl>
                  <c:pt idx="0">
                    <c:v>שכ''ט דמי ניהול</c:v>
                  </c:pt>
                  <c:pt idx="1">
                    <c:v>שיפוצים</c:v>
                  </c:pt>
                  <c:pt idx="2">
                    <c:v>דמי ניהול בנק</c:v>
                  </c:pt>
                  <c:pt idx="3">
                    <c:v>עלויות שונות</c:v>
                  </c:pt>
                  <c:pt idx="4">
                    <c:v>מיסים</c:v>
                  </c:pt>
                  <c:pt idx="5">
                    <c:v>סה''כ הוצאות</c:v>
                  </c:pt>
                  <c:pt idx="6">
                    <c:v>יתרת</c:v>
                  </c:pt>
                  <c:pt idx="7">
                    <c:v>העברה ללקוח</c:v>
                  </c:pt>
                  <c:pt idx="8">
                    <c:v>עלויות שונות/הערות</c:v>
                  </c:pt>
                </c:lvl>
                <c:lvl>
                  <c:pt idx="0">
                    <c:v>הוצאות</c:v>
                  </c:pt>
                </c:lvl>
                <c:lvl>
                  <c:pt idx="2">
                    <c:v>כתובת הנכס : רח' שמואל הנביא 4/31 - ירושלים</c:v>
                  </c:pt>
                  <c:pt idx="6">
                    <c:v>                       שם הלקוח : חג'ג' רבקה &amp; שרה אהרון                                                                שם השוכר : למברגר משה וגיטל</c:v>
                  </c:pt>
                </c:lvl>
              </c:multiLvlStrCache>
            </c:multiLvlStrRef>
          </c:cat>
          <c:val>
            <c:numRef>
              <c:f>Feuil1!$C$15:$L$15</c:f>
              <c:numCache>
                <c:formatCode>General</c:formatCode>
                <c:ptCount val="10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B8-4931-BA11-0F75C1447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25088"/>
        <c:axId val="131226624"/>
      </c:barChart>
      <c:catAx>
        <c:axId val="131225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1226624"/>
        <c:crosses val="autoZero"/>
        <c:auto val="1"/>
        <c:lblAlgn val="ctr"/>
        <c:lblOffset val="100"/>
        <c:noMultiLvlLbl val="0"/>
      </c:catAx>
      <c:valAx>
        <c:axId val="13122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225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0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094" cy="607336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"/>
  <sheetViews>
    <sheetView showGridLines="0" tabSelected="1" zoomScaleNormal="100" workbookViewId="0">
      <selection activeCell="K16" sqref="K16"/>
    </sheetView>
  </sheetViews>
  <sheetFormatPr baseColWidth="10" defaultColWidth="11.375" defaultRowHeight="14.25" x14ac:dyDescent="0.2"/>
  <cols>
    <col min="1" max="1" width="10.75" style="2" customWidth="1"/>
    <col min="2" max="2" width="11.875" style="2" customWidth="1"/>
    <col min="3" max="3" width="11.375" style="2" customWidth="1"/>
    <col min="4" max="4" width="10.625" style="2" customWidth="1"/>
    <col min="5" max="5" width="8.25" style="2" customWidth="1"/>
    <col min="6" max="7" width="10.75" style="2" customWidth="1"/>
    <col min="8" max="8" width="11.125" style="2" customWidth="1"/>
    <col min="9" max="10" width="11.875" style="2" customWidth="1"/>
    <col min="11" max="12" width="36" style="2" customWidth="1"/>
    <col min="13" max="20" width="11.375" style="2"/>
    <col min="21" max="21" width="4.375" style="2" customWidth="1"/>
    <col min="22" max="22" width="2.875" style="2" customWidth="1"/>
    <col min="23" max="23" width="6.875" style="2" hidden="1" customWidth="1"/>
    <col min="24" max="24" width="31.375" style="2" customWidth="1"/>
    <col min="25" max="25" width="24.375" style="2" customWidth="1"/>
    <col min="26" max="16384" width="11.375" style="2"/>
  </cols>
  <sheetData>
    <row r="1" spans="1:20" customFormat="1" ht="40.5" customHeight="1" x14ac:dyDescent="0.2">
      <c r="A1" s="41" t="s">
        <v>22</v>
      </c>
      <c r="B1" s="42"/>
      <c r="C1" s="42"/>
      <c r="D1" s="42"/>
      <c r="E1" s="43" t="s">
        <v>1</v>
      </c>
      <c r="F1" s="42"/>
      <c r="G1" s="42"/>
      <c r="H1" s="42"/>
      <c r="I1" s="43" t="s">
        <v>28</v>
      </c>
      <c r="J1" s="42"/>
      <c r="K1" s="42"/>
      <c r="T1" s="1"/>
    </row>
    <row r="2" spans="1:20" s="9" customFormat="1" ht="27.75" customHeight="1" thickBot="1" x14ac:dyDescent="0.25">
      <c r="A2" s="46" t="s">
        <v>23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8"/>
    </row>
    <row r="3" spans="1:20" s="10" customFormat="1" ht="19.5" thickTop="1" thickBot="1" x14ac:dyDescent="0.25">
      <c r="A3" s="44" t="s">
        <v>2</v>
      </c>
      <c r="B3" s="38" t="s">
        <v>20</v>
      </c>
      <c r="C3" s="47" t="s">
        <v>21</v>
      </c>
      <c r="D3" s="48"/>
      <c r="E3" s="48"/>
      <c r="F3" s="48"/>
      <c r="G3" s="48"/>
      <c r="H3" s="49"/>
      <c r="I3" s="23"/>
      <c r="J3" s="23"/>
      <c r="K3" s="23"/>
      <c r="M3" s="11"/>
    </row>
    <row r="4" spans="1:20" s="10" customFormat="1" ht="31.5" customHeight="1" thickTop="1" thickBot="1" x14ac:dyDescent="0.25">
      <c r="A4" s="45"/>
      <c r="B4" s="26" t="s">
        <v>9</v>
      </c>
      <c r="C4" s="21" t="s">
        <v>10</v>
      </c>
      <c r="D4" s="22" t="s">
        <v>11</v>
      </c>
      <c r="E4" s="22" t="s">
        <v>12</v>
      </c>
      <c r="F4" s="22" t="s">
        <v>13</v>
      </c>
      <c r="G4" s="24" t="s">
        <v>14</v>
      </c>
      <c r="H4" s="32" t="s">
        <v>19</v>
      </c>
      <c r="I4" s="20" t="s">
        <v>18</v>
      </c>
      <c r="J4" s="33" t="s">
        <v>15</v>
      </c>
      <c r="K4" s="20" t="s">
        <v>16</v>
      </c>
      <c r="M4" s="11"/>
    </row>
    <row r="5" spans="1:20" s="10" customFormat="1" ht="18" customHeight="1" thickTop="1" x14ac:dyDescent="0.2">
      <c r="A5" s="27" t="s">
        <v>3</v>
      </c>
      <c r="B5" s="25">
        <v>5200</v>
      </c>
      <c r="C5" s="15">
        <v>425.88</v>
      </c>
      <c r="D5" s="14"/>
      <c r="E5" s="14"/>
      <c r="F5" s="14"/>
      <c r="G5" s="16"/>
      <c r="H5" s="25">
        <f t="shared" ref="H5" si="0">SUM(C5:G5)</f>
        <v>425.88</v>
      </c>
      <c r="I5" s="17">
        <f t="shared" ref="I5" si="1">SUM(B5-H5)</f>
        <v>4774.12</v>
      </c>
      <c r="J5" s="17">
        <v>4774.12</v>
      </c>
      <c r="K5" s="39"/>
      <c r="M5" s="11"/>
    </row>
    <row r="6" spans="1:20" s="10" customFormat="1" ht="16.5" customHeight="1" x14ac:dyDescent="0.2">
      <c r="A6" s="28" t="s">
        <v>4</v>
      </c>
      <c r="B6" s="25">
        <v>5200</v>
      </c>
      <c r="C6" s="15">
        <v>425.88</v>
      </c>
      <c r="D6" s="14"/>
      <c r="E6" s="14"/>
      <c r="F6" s="14"/>
      <c r="G6" s="16"/>
      <c r="H6" s="25">
        <f t="shared" ref="H6:H9" si="2">SUM(C6:G6)</f>
        <v>425.88</v>
      </c>
      <c r="I6" s="17">
        <f t="shared" ref="I6:I9" si="3">SUM(B6-H6)</f>
        <v>4774.12</v>
      </c>
      <c r="J6" s="17">
        <v>4774.12</v>
      </c>
      <c r="K6" s="35"/>
    </row>
    <row r="7" spans="1:20" s="10" customFormat="1" ht="19.5" customHeight="1" x14ac:dyDescent="0.2">
      <c r="A7" s="29" t="s">
        <v>5</v>
      </c>
      <c r="B7" s="25">
        <v>5200</v>
      </c>
      <c r="C7" s="15">
        <v>425.88</v>
      </c>
      <c r="D7" s="14"/>
      <c r="E7" s="14"/>
      <c r="F7" s="14"/>
      <c r="G7" s="16"/>
      <c r="H7" s="25">
        <f t="shared" si="2"/>
        <v>425.88</v>
      </c>
      <c r="I7" s="17">
        <f t="shared" si="3"/>
        <v>4774.12</v>
      </c>
      <c r="J7" s="17">
        <v>4774.12</v>
      </c>
      <c r="K7" s="40"/>
    </row>
    <row r="8" spans="1:20" s="10" customFormat="1" ht="17.25" customHeight="1" x14ac:dyDescent="0.2">
      <c r="A8" s="30" t="s">
        <v>6</v>
      </c>
      <c r="B8" s="25">
        <v>5200</v>
      </c>
      <c r="C8" s="15">
        <v>425.88</v>
      </c>
      <c r="D8" s="14"/>
      <c r="E8" s="14"/>
      <c r="F8" s="14"/>
      <c r="G8" s="16"/>
      <c r="H8" s="25">
        <f t="shared" si="2"/>
        <v>425.88</v>
      </c>
      <c r="I8" s="17">
        <f t="shared" si="3"/>
        <v>4774.12</v>
      </c>
      <c r="J8" s="17">
        <v>4774.12</v>
      </c>
      <c r="K8" s="35"/>
    </row>
    <row r="9" spans="1:20" s="10" customFormat="1" ht="17.25" customHeight="1" x14ac:dyDescent="0.2">
      <c r="A9" s="30" t="s">
        <v>7</v>
      </c>
      <c r="B9" s="25">
        <v>5200</v>
      </c>
      <c r="C9" s="15">
        <v>425.88</v>
      </c>
      <c r="D9" s="14"/>
      <c r="E9" s="14"/>
      <c r="F9" s="14"/>
      <c r="G9" s="16"/>
      <c r="H9" s="25">
        <f t="shared" si="2"/>
        <v>425.88</v>
      </c>
      <c r="I9" s="17">
        <f t="shared" si="3"/>
        <v>4774.12</v>
      </c>
      <c r="J9" s="17">
        <v>4774.12</v>
      </c>
      <c r="K9" s="35"/>
    </row>
    <row r="10" spans="1:20" s="10" customFormat="1" ht="18" customHeight="1" thickBot="1" x14ac:dyDescent="0.25">
      <c r="A10" s="31" t="s">
        <v>8</v>
      </c>
      <c r="B10" s="25">
        <v>5200</v>
      </c>
      <c r="C10" s="15">
        <v>425.88</v>
      </c>
      <c r="D10" s="14"/>
      <c r="E10" s="14"/>
      <c r="F10" s="14"/>
      <c r="G10" s="16"/>
      <c r="H10" s="25">
        <f t="shared" ref="H10" si="4">SUM(C10:G10)</f>
        <v>425.88</v>
      </c>
      <c r="I10" s="17">
        <f t="shared" ref="I10" si="5">SUM(B10-H10)</f>
        <v>4774.12</v>
      </c>
      <c r="J10" s="18">
        <v>4774.12</v>
      </c>
      <c r="K10" s="19"/>
    </row>
    <row r="11" spans="1:20" s="5" customFormat="1" ht="24.75" customHeight="1" thickTop="1" thickBot="1" x14ac:dyDescent="0.25">
      <c r="A11" s="13" t="s">
        <v>0</v>
      </c>
      <c r="B11" s="7">
        <f>SUM(B5:B10)</f>
        <v>31200</v>
      </c>
      <c r="C11" s="6"/>
      <c r="D11" s="6"/>
      <c r="E11" s="6"/>
      <c r="F11" s="6"/>
      <c r="G11" s="6"/>
      <c r="H11" s="7">
        <f>SUM(H5:H10)</f>
        <v>2555.2800000000002</v>
      </c>
      <c r="I11" s="7">
        <f>SUM(I5:I10)</f>
        <v>28644.719999999998</v>
      </c>
      <c r="J11" s="34">
        <f>SUM(J5:J10)</f>
        <v>28644.719999999998</v>
      </c>
      <c r="K11" s="6"/>
    </row>
    <row r="12" spans="1:20" customFormat="1" ht="19.5" customHeight="1" thickTop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36" t="s">
        <v>24</v>
      </c>
    </row>
    <row r="13" spans="1:20" customFormat="1" ht="21" customHeight="1" x14ac:dyDescent="0.2">
      <c r="A13" s="37" t="s">
        <v>17</v>
      </c>
      <c r="B13" s="12"/>
      <c r="C13" s="12"/>
      <c r="D13" s="12"/>
      <c r="E13" s="12"/>
      <c r="F13" s="12"/>
      <c r="G13" s="12"/>
      <c r="H13" s="12"/>
      <c r="I13" s="12"/>
      <c r="J13" s="12"/>
      <c r="K13" s="36" t="s">
        <v>26</v>
      </c>
    </row>
    <row r="14" spans="1:20" customFormat="1" ht="21" customHeight="1" x14ac:dyDescent="0.2">
      <c r="A14" s="37"/>
      <c r="B14" s="12"/>
      <c r="C14" s="12"/>
      <c r="D14" s="12"/>
      <c r="E14" s="12"/>
      <c r="F14" s="12"/>
      <c r="G14" s="12"/>
      <c r="H14" s="12"/>
      <c r="I14" s="12"/>
      <c r="J14" s="12"/>
      <c r="K14" s="36" t="s">
        <v>27</v>
      </c>
    </row>
    <row r="15" spans="1:20" customFormat="1" ht="21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36" t="s">
        <v>25</v>
      </c>
    </row>
    <row r="16" spans="1:20" customFormat="1" ht="21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36" t="s">
        <v>29</v>
      </c>
    </row>
    <row r="18" spans="1:11" x14ac:dyDescent="0.2">
      <c r="A18" s="3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"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">
      <c r="C20" s="3"/>
      <c r="D20" s="3"/>
      <c r="E20" s="3"/>
      <c r="F20" s="3"/>
      <c r="G20" s="3"/>
      <c r="H20" s="3"/>
      <c r="I20" s="3"/>
      <c r="J20" s="3"/>
      <c r="K20" s="3"/>
    </row>
  </sheetData>
  <mergeCells count="6">
    <mergeCell ref="A1:D1"/>
    <mergeCell ref="E1:H1"/>
    <mergeCell ref="I1:K1"/>
    <mergeCell ref="A3:A4"/>
    <mergeCell ref="A2:K2"/>
    <mergeCell ref="C3:H3"/>
  </mergeCells>
  <pageMargins left="0.25" right="0.25" top="2.15625" bottom="0.75" header="0.3" footer="0.3"/>
  <pageSetup paperSize="9" scale="90" orientation="landscape" r:id="rId1"/>
  <headerFooter>
    <oddHeader>&amp;C&amp;G</oddHead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baseColWidth="10" defaultColWidth="11"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/>
  </sheetViews>
  <sheetFormatPr baseColWidth="10" defaultColWidth="11"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Graph1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secretariat</dc:creator>
  <cp:lastModifiedBy>pjln nakache</cp:lastModifiedBy>
  <cp:lastPrinted>2025-01-12T07:25:17Z</cp:lastPrinted>
  <dcterms:created xsi:type="dcterms:W3CDTF">2010-01-14T09:42:05Z</dcterms:created>
  <dcterms:modified xsi:type="dcterms:W3CDTF">2025-01-12T07:26:10Z</dcterms:modified>
</cp:coreProperties>
</file>